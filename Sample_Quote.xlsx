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" sheetId="1" r:id="rId5"/>
  </sheets>
  <definedNames>
    <definedName name="min">#REF!</definedName>
    <definedName name="Tiers">#REF!</definedName>
    <definedName name="RCM">#REF!</definedName>
    <definedName name="nCipher">#REF!</definedName>
    <definedName name="network">#REF!</definedName>
    <definedName name="SOM">#REF!</definedName>
    <definedName name="Misc">#REF!</definedName>
    <definedName name="TSBundles">#REF!</definedName>
    <definedName name="HardwareAuthenticators">#REF!</definedName>
    <definedName name="All">#REF!</definedName>
    <definedName name="AuthMgr">#REF!</definedName>
    <definedName name="discountH">#REF!</definedName>
    <definedName name="FullPriceList">#REF!</definedName>
    <definedName name="AuthMgrBundles">#REF!</definedName>
    <definedName name="SmartCardsReadersUSBTokens">#REF!</definedName>
    <definedName name="discountHardware">#REF!</definedName>
    <definedName name="BILLJOHN_Query">#REF!</definedName>
    <definedName name="ClearTrust">#REF!</definedName>
    <definedName name="DeploymentMgr">#REF!</definedName>
    <definedName name="Price">#REF!</definedName>
    <definedName name="discountmonthlyfee">#REF!</definedName>
  </definedNames>
  <calcPr/>
</workbook>
</file>

<file path=xl/sharedStrings.xml><?xml version="1.0" encoding="utf-8"?>
<sst xmlns="http://schemas.openxmlformats.org/spreadsheetml/2006/main" count="91" uniqueCount="80">
  <si>
    <t>Q U O T A T I O N</t>
  </si>
  <si>
    <t xml:space="preserve">  Reseller / Partner Company : </t>
  </si>
  <si>
    <t>ZZZ Security Pte Ltd</t>
  </si>
  <si>
    <t>Date:</t>
  </si>
  <si>
    <t xml:space="preserve">  Reseller Contact Details : </t>
  </si>
  <si>
    <t xml:space="preserve">Jessica Koh / Joyce Chan </t>
  </si>
  <si>
    <t>Ref:</t>
  </si>
  <si>
    <t>MTSG-QT20231017 Rev 3</t>
  </si>
  <si>
    <t xml:space="preserve">  End-User Company: </t>
  </si>
  <si>
    <t>YYY</t>
  </si>
  <si>
    <t xml:space="preserve">Validity: </t>
  </si>
  <si>
    <t xml:space="preserve">Project : </t>
  </si>
  <si>
    <t>XXX</t>
  </si>
  <si>
    <t>RESELLER / PARTNER</t>
  </si>
  <si>
    <t>S/N</t>
  </si>
  <si>
    <t>Product Number / SKU</t>
  </si>
  <si>
    <t>Licence ID / Serial No.</t>
  </si>
  <si>
    <t>Description</t>
  </si>
  <si>
    <t>Maintenance</t>
  </si>
  <si>
    <t>Remarks</t>
  </si>
  <si>
    <t>Qty</t>
  </si>
  <si>
    <t>Unit Price
(USD)</t>
  </si>
  <si>
    <t>Total Price
(USD)</t>
  </si>
  <si>
    <t>Start Date</t>
  </si>
  <si>
    <t>End Date</t>
  </si>
  <si>
    <t>RENEWAL AND TECH REFRESH</t>
  </si>
  <si>
    <t>SID-A330-A</t>
  </si>
  <si>
    <t>NEW</t>
  </si>
  <si>
    <t>RSA SecurID A330 Appliance</t>
  </si>
  <si>
    <t>TBA</t>
  </si>
  <si>
    <r>
      <rPr>
        <rFont val="Calibri"/>
        <color theme="1"/>
        <sz val="11.0"/>
      </rPr>
      <t xml:space="preserve">Tech refresh of 12 Current Appliance with serial nos. FT6RBM2, BJYZMN2, FT6KBM2, 8G2QDN2, BJZYMN2, 872KDN2, FT6MBM2, FT7FBM2, FT6PBM2, FT6NBM2, FT7DBM2 and FT6SBM2, </t>
    </r>
    <r>
      <rPr>
        <rFont val="Calibri"/>
        <b/>
        <color theme="1"/>
        <sz val="11.0"/>
      </rPr>
      <t>Year 5 Maintenance expiry date 31 March 2025</t>
    </r>
    <r>
      <rPr>
        <rFont val="Calibri"/>
        <color theme="1"/>
        <sz val="11.0"/>
      </rPr>
      <t xml:space="preserve">
Coming with Year 1 to 3 Appliance Maintenance</t>
    </r>
  </si>
  <si>
    <t>MT-HWM-2474-RSA</t>
  </si>
  <si>
    <t xml:space="preserve">MTSG, Advance Hardware Replacement 24x7x4, Appliance 330, 1Yr </t>
  </si>
  <si>
    <t>Year 1-3 XXX Hardware Loaner</t>
  </si>
  <si>
    <t>AUT0000250EE1-8</t>
  </si>
  <si>
    <t>SID Access Ent EnhMnt 1Mo</t>
  </si>
  <si>
    <r>
      <rPr>
        <rFont val="Calibri"/>
        <b/>
        <color theme="1"/>
        <sz val="11.0"/>
      </rPr>
      <t>36 Months</t>
    </r>
    <r>
      <rPr>
        <rFont val="Calibri"/>
        <color theme="1"/>
        <sz val="11.0"/>
      </rPr>
      <t xml:space="preserve"> Maintenance Renewal for </t>
    </r>
    <r>
      <rPr>
        <rFont val="Calibri"/>
        <b/>
        <color theme="1"/>
        <sz val="11.0"/>
      </rPr>
      <t>200 User License</t>
    </r>
  </si>
  <si>
    <t>SID700-6-60-36-100</t>
  </si>
  <si>
    <t>RSA SecurID Authenticator SID700 (36 months) 100 Pack</t>
  </si>
  <si>
    <r>
      <rPr>
        <rFont val="Calibri"/>
        <color theme="1"/>
        <sz val="11.0"/>
      </rPr>
      <t xml:space="preserve">To replace current 100 Hard tokens that will expire in </t>
    </r>
    <r>
      <rPr>
        <rFont val="Calibri"/>
        <b/>
        <color theme="1"/>
        <sz val="11.0"/>
      </rPr>
      <t>30 April 2028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* Recommend to purhcase replacement tokens, 1 months before the current tokens expiry date</t>
    </r>
  </si>
  <si>
    <r>
      <rPr>
        <rFont val="Calibri"/>
        <color theme="1"/>
        <sz val="11.0"/>
      </rPr>
      <t xml:space="preserve">To replace current 100 Hard tokens that will expire in </t>
    </r>
    <r>
      <rPr>
        <rFont val="Calibri"/>
        <b/>
        <color theme="1"/>
        <sz val="11.0"/>
      </rPr>
      <t>30 April 2028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* Recommend to purhcase replacement tokens, 1 months before the current tokens expiry date</t>
    </r>
  </si>
  <si>
    <t>*** LAST ITEM****</t>
  </si>
  <si>
    <t>Remarks:</t>
  </si>
  <si>
    <t>Sub-Total:</t>
  </si>
  <si>
    <t xml:space="preserve">** Singapore GST rate will be increased from 8% to 9%, with effect from 1 Jan 2024. 
GST rate quoted on quotation is not final, will be chargeable based on prevailing rate at the time of supply.
•        •From 16 Oct 2023 there will be Price Increase for RSA SID Legacy Products
•        Late license maintenance/subscription renewal will incur re-instatement fee.
</t>
  </si>
  <si>
    <t>9% GST:</t>
  </si>
  <si>
    <t>Total
(incl. 9% GST):</t>
  </si>
  <si>
    <t xml:space="preserve">  TERMS &amp; CONDITIONS</t>
  </si>
  <si>
    <t>1. VALIDITY</t>
  </si>
  <si>
    <t xml:space="preserve">30 DAYS FROM DATE OF QUOTATION UNLESS OTHERWISE STATED. ALL ITEMS QUOTED ARE COMPULSORY UNLESS STATED AS OPTIONAL. </t>
  </si>
  <si>
    <t xml:space="preserve">1.1   Any item not stated in this quotation will be considered as an addition. </t>
  </si>
  <si>
    <t xml:space="preserve">1.2   The above validity period is subjected to no material change in exchange rates and/or vendor discount/pricing structure. </t>
  </si>
  <si>
    <r>
      <rPr>
        <rFont val="Calibri"/>
        <i/>
        <color theme="1"/>
        <sz val="11.0"/>
      </rPr>
      <t xml:space="preserve">1.3   This Quotation will be deemed as an Official Purchase Order once signed, faxed or sent back to </t>
    </r>
    <r>
      <rPr>
        <rFont val="Calibri"/>
        <i/>
        <color rgb="FF0000FF"/>
        <sz val="11.0"/>
      </rPr>
      <t>XXX Products Pte Ltd</t>
    </r>
    <r>
      <rPr>
        <rFont val="Calibri"/>
        <i/>
        <color theme="1"/>
        <sz val="11.0"/>
      </rPr>
      <t xml:space="preserve">. </t>
    </r>
  </si>
  <si>
    <t>2. PAYMENT</t>
  </si>
  <si>
    <r>
      <rPr>
        <rFont val="Calibri"/>
        <b/>
        <color rgb="FFFF0000"/>
        <sz val="11.0"/>
        <u/>
      </rPr>
      <t>45</t>
    </r>
    <r>
      <rPr>
        <rFont val="Calibri"/>
        <b/>
        <color rgb="FFFF0000"/>
        <sz val="11.0"/>
      </rPr>
      <t xml:space="preserve"> DAYS FROM INVOICE DATE.</t>
    </r>
  </si>
  <si>
    <t xml:space="preserve">2.1   All Training, Onsite Assistance and Professional Services are payable upfront. </t>
  </si>
  <si>
    <t xml:space="preserve">2.2   Credit application has to be submitted for credit terms. All credit granted is subjected to customer keeping with and not exceeding the pre-approved credit limit. </t>
  </si>
  <si>
    <r>
      <rPr>
        <rFont val="Calibri"/>
        <i/>
        <color theme="0"/>
        <sz val="11.0"/>
      </rPr>
      <t xml:space="preserve">2.1  </t>
    </r>
    <r>
      <rPr>
        <rFont val="Calibri"/>
        <i/>
        <color theme="1"/>
        <sz val="11.0"/>
      </rPr>
      <t xml:space="preserve">Otherwise, </t>
    </r>
    <r>
      <rPr>
        <rFont val="Calibri"/>
        <i/>
        <color rgb="FF0000FF"/>
        <sz val="11.0"/>
      </rPr>
      <t>XXX Products Pte Ltd</t>
    </r>
    <r>
      <rPr>
        <rFont val="Calibri"/>
        <i/>
        <color theme="1"/>
        <sz val="11.0"/>
      </rPr>
      <t xml:space="preserve"> reserves the right to change the payment term as indicated above. </t>
    </r>
  </si>
  <si>
    <t>3. DELIVERY</t>
  </si>
  <si>
    <t xml:space="preserve">Subject to stock availability. Delivery shall be made 3~5 weeks upon PO confirmation. </t>
  </si>
  <si>
    <t xml:space="preserve">3.1   Once quotation is acknowledged by Customer, delivery of the order shall be within 30 days of quotation. </t>
  </si>
  <si>
    <t xml:space="preserve">3.2   Should Customer fails to accept delivery, cancellation charges or whole value of PO (whichever is higher) applies. </t>
  </si>
  <si>
    <t>3.3   Customer shall apply export permit at their own expense if there is a need to export equipment out of Singapore.</t>
  </si>
  <si>
    <r>
      <rPr>
        <rFont val="Calibri"/>
        <i/>
        <color theme="1"/>
        <sz val="11.0"/>
      </rPr>
      <t xml:space="preserve">3.4  </t>
    </r>
    <r>
      <rPr>
        <rFont val="Calibri"/>
        <i/>
        <color theme="1"/>
        <sz val="11.0"/>
      </rPr>
      <t>Customer will be responsible for all taxes, withholding, duties and other government assessments.</t>
    </r>
  </si>
  <si>
    <t xml:space="preserve">3.5   If based on signed quotation, customer agrees to accept delivery within 30 days upon confirmation of this quotation. This shall be the overriding delivery condition under all circumstances. </t>
  </si>
  <si>
    <r>
      <rPr>
        <rFont val="Calibri"/>
        <i/>
        <color theme="1"/>
        <sz val="11.0"/>
      </rPr>
      <t xml:space="preserve">3.6   If Customer is required to pay any withholding tax on payments to </t>
    </r>
    <r>
      <rPr>
        <rFont val="Calibri"/>
        <i/>
        <color rgb="FF0000FF"/>
        <sz val="11.0"/>
      </rPr>
      <t>XXX Products Pte Ltd</t>
    </r>
    <r>
      <rPr>
        <rFont val="Calibri"/>
        <i/>
        <color theme="1"/>
        <sz val="11.0"/>
      </rPr>
      <t xml:space="preserve">, then payments to </t>
    </r>
    <r>
      <rPr>
        <rFont val="Calibri"/>
        <i/>
        <color rgb="FF0000FF"/>
        <sz val="11.0"/>
      </rPr>
      <t>XXX Products Pte Ltd</t>
    </r>
    <r>
      <rPr>
        <rFont val="Calibri"/>
        <i/>
        <color theme="1"/>
        <sz val="11.0"/>
      </rPr>
      <t xml:space="preserve"> must be adjusted such that the </t>
    </r>
  </si>
  <si>
    <r>
      <rPr>
        <rFont val="Calibri"/>
        <i/>
        <color theme="0"/>
        <sz val="11.0"/>
      </rPr>
      <t xml:space="preserve">3.1   </t>
    </r>
    <r>
      <rPr>
        <rFont val="Calibri"/>
        <i/>
        <color theme="1"/>
        <sz val="11.0"/>
      </rPr>
      <t xml:space="preserve">net payment to </t>
    </r>
    <r>
      <rPr>
        <rFont val="Calibri"/>
        <i/>
        <color rgb="FF0000FF"/>
        <sz val="11.0"/>
      </rPr>
      <t>XXX Products Pte Ltd</t>
    </r>
    <r>
      <rPr>
        <rFont val="Calibri"/>
        <i/>
        <color theme="1"/>
        <sz val="11.0"/>
      </rPr>
      <t xml:space="preserve">, after withholding tax, would be the same as if no withholding tax were deducted. </t>
    </r>
  </si>
  <si>
    <t>4. CANCELLATION</t>
  </si>
  <si>
    <r>
      <rPr>
        <rFont val="Calibri"/>
        <b/>
        <color theme="1"/>
        <sz val="11.0"/>
      </rPr>
      <t xml:space="preserve">Any cancellation of order must be agreed by </t>
    </r>
    <r>
      <rPr>
        <rFont val="Calibri"/>
        <b/>
        <i/>
        <color rgb="FF0000FF"/>
        <sz val="11.0"/>
      </rPr>
      <t>XXX Products Pte Ltd</t>
    </r>
    <r>
      <rPr>
        <rFont val="Calibri"/>
        <b/>
        <color theme="1"/>
        <sz val="11.0"/>
      </rPr>
      <t xml:space="preserve"> in writing and will be subjected a minimum cancellation charge of 30% of the PO Price.</t>
    </r>
  </si>
  <si>
    <t xml:space="preserve"> I trust that the above quotation meets your requirements. Please do not hestitate to contact me if you need further assistance. </t>
  </si>
  <si>
    <t>Yours faithfully</t>
  </si>
  <si>
    <t>I/We hereby confirmed and accepted the price and terms as stated hereof.</t>
  </si>
  <si>
    <t>Myla  Pacson</t>
  </si>
  <si>
    <t>Myla Pacson</t>
  </si>
  <si>
    <t>Name / Signature / Co. Stamp / Date</t>
  </si>
  <si>
    <t>Senior Inside Sales Executive - RSA</t>
  </si>
  <si>
    <t>DID: (65) 6516 0076</t>
  </si>
  <si>
    <t>Email: mylapac@YYY.com</t>
  </si>
  <si>
    <t>12 Boon Lay Way, #02-111 TradeHub 21, Singapore 609966        Main Line: (65) 6516 0488        Main Fax: (65) 6729 6553</t>
  </si>
  <si>
    <t>Singapore. Australia. Cambodia. China. Hong Kong. India. Indonesia. Japan. Korea. Malaysia. Myanmar. New Zealand. Philippines. Sri Lanka. Taiwan. Thailand. United Kingdom. Vietnam.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</si>
</sst>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\-&quot;$&quot;* #,##0.00_-;_-&quot;$&quot;* &quot;-&quot;??_-;_-@"/>
    <numFmt numFmtId="165" formatCode="[$-409]d\-mmm\-yy"/>
    <numFmt numFmtId="166" formatCode="[$-14809]d\ mmm\ yyyy"/>
    <numFmt numFmtId="167" formatCode="_-[$$-409]* #,##0.00_ ;_-[$$-409]* \-#,##0.00\ ;_-[$$-409]* &quot;-&quot;??_ ;_-@_ "/>
    <numFmt numFmtId="168" formatCode="&quot;$&quot;#,##0.00"/>
  </numFmts>
  <fonts count="20">
    <font>
      <sz val="11.0"/>
      <color theme="1"/>
      <name val="Calibri"/>
      <scheme val="minor"/>
    </font>
    <font>
      <sz val="18.0"/>
      <color theme="1"/>
      <name val="Arial Black"/>
    </font>
    <font>
      <sz val="10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b/>
      <sz val="10.0"/>
      <color rgb="FFFF0000"/>
      <name val="Calibri"/>
    </font>
    <font>
      <b/>
      <sz val="10.0"/>
      <color theme="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u/>
      <sz val="11.0"/>
      <color theme="1"/>
      <name val="Calibri"/>
    </font>
    <font>
      <i/>
      <sz val="11.0"/>
      <color theme="1"/>
      <name val="Calibri"/>
    </font>
    <font>
      <b/>
      <sz val="12.0"/>
      <color theme="1"/>
      <name val="Calibri"/>
    </font>
    <font>
      <b/>
      <sz val="30.0"/>
      <color theme="1"/>
      <name val="Corsiva"/>
    </font>
    <font>
      <sz val="25.0"/>
      <color theme="1"/>
      <name val="Corsiva"/>
    </font>
    <font>
      <b/>
      <sz val="15.0"/>
      <color theme="1"/>
      <name val="Calibri"/>
    </font>
    <font>
      <sz val="15.0"/>
      <color theme="1"/>
      <name val="Calibri"/>
    </font>
    <font>
      <b/>
      <sz val="14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B4C6E7"/>
        <bgColor rgb="FFB4C6E7"/>
      </patternFill>
    </fill>
  </fills>
  <borders count="5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2" numFmtId="0" xfId="0" applyBorder="1" applyFont="1"/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vertical="center"/>
    </xf>
    <xf borderId="1" fillId="2" fontId="2" numFmtId="164" xfId="0" applyAlignment="1" applyBorder="1" applyFont="1" applyNumberFormat="1">
      <alignment horizontal="center" vertical="center"/>
    </xf>
    <xf borderId="2" fillId="2" fontId="2" numFmtId="0" xfId="0" applyBorder="1" applyFont="1"/>
    <xf borderId="3" fillId="2" fontId="2" numFmtId="0" xfId="0" applyAlignment="1" applyBorder="1" applyFont="1">
      <alignment horizontal="left"/>
    </xf>
    <xf borderId="4" fillId="2" fontId="2" numFmtId="0" xfId="0" applyBorder="1" applyFont="1"/>
    <xf borderId="5" fillId="2" fontId="3" numFmtId="0" xfId="0" applyAlignment="1" applyBorder="1" applyFont="1">
      <alignment horizontal="left" vertical="center"/>
    </xf>
    <xf borderId="6" fillId="0" fontId="4" numFmtId="0" xfId="0" applyBorder="1" applyFont="1"/>
    <xf borderId="1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vertical="center"/>
    </xf>
    <xf borderId="7" fillId="2" fontId="3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2" fontId="3" numFmtId="0" xfId="0" applyAlignment="1" applyBorder="1" applyFont="1">
      <alignment horizontal="right" vertical="center"/>
    </xf>
    <xf borderId="8" fillId="2" fontId="3" numFmtId="165" xfId="0" applyAlignment="1" applyBorder="1" applyFont="1" applyNumberFormat="1">
      <alignment horizontal="left" readingOrder="0" vertical="center"/>
    </xf>
    <xf borderId="1" fillId="2" fontId="3" numFmtId="166" xfId="0" applyAlignment="1" applyBorder="1" applyFont="1" applyNumberFormat="1">
      <alignment vertical="center"/>
    </xf>
    <xf borderId="8" fillId="2" fontId="3" numFmtId="0" xfId="0" applyAlignment="1" applyBorder="1" applyFont="1">
      <alignment horizontal="left" vertical="center"/>
    </xf>
    <xf borderId="8" fillId="2" fontId="6" numFmtId="165" xfId="0" applyAlignment="1" applyBorder="1" applyFont="1" applyNumberFormat="1">
      <alignment horizontal="left" readingOrder="0" vertical="center"/>
    </xf>
    <xf borderId="1" fillId="2" fontId="6" numFmtId="49" xfId="0" applyAlignment="1" applyBorder="1" applyFont="1" applyNumberFormat="1">
      <alignment horizontal="left" vertical="center"/>
    </xf>
    <xf borderId="9" fillId="2" fontId="2" numFmtId="0" xfId="0" applyBorder="1" applyFont="1"/>
    <xf borderId="10" fillId="2" fontId="2" numFmtId="0" xfId="0" applyAlignment="1" applyBorder="1" applyFont="1">
      <alignment horizontal="left"/>
    </xf>
    <xf borderId="11" fillId="2" fontId="2" numFmtId="0" xfId="0" applyBorder="1" applyFont="1"/>
    <xf borderId="1" fillId="2" fontId="7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8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vertical="center"/>
    </xf>
    <xf borderId="12" fillId="3" fontId="8" numFmtId="0" xfId="0" applyAlignment="1" applyBorder="1" applyFill="1" applyFont="1">
      <alignment horizontal="center" vertical="center"/>
    </xf>
    <xf borderId="13" fillId="0" fontId="4" numFmtId="0" xfId="0" applyBorder="1" applyFont="1"/>
    <xf borderId="14" fillId="3" fontId="9" numFmtId="0" xfId="0" applyAlignment="1" applyBorder="1" applyFont="1">
      <alignment horizontal="center" vertical="center"/>
    </xf>
    <xf borderId="15" fillId="3" fontId="9" numFmtId="0" xfId="0" applyAlignment="1" applyBorder="1" applyFont="1">
      <alignment horizontal="center" shrinkToFit="0" vertical="center" wrapText="1"/>
    </xf>
    <xf borderId="15" fillId="3" fontId="10" numFmtId="0" xfId="0" applyAlignment="1" applyBorder="1" applyFont="1">
      <alignment horizontal="center" readingOrder="0" shrinkToFit="0" vertical="center" wrapText="1"/>
    </xf>
    <xf borderId="15" fillId="3" fontId="9" numFmtId="0" xfId="0" applyAlignment="1" applyBorder="1" applyFont="1">
      <alignment horizontal="center" vertical="center"/>
    </xf>
    <xf borderId="16" fillId="3" fontId="9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3" fontId="9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shrinkToFit="0" vertical="center" wrapText="1"/>
    </xf>
    <xf borderId="19" fillId="3" fontId="9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3" fontId="9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4" fontId="9" numFmtId="0" xfId="0" applyAlignment="1" applyBorder="1" applyFill="1" applyFont="1">
      <alignment horizontal="center" vertical="center"/>
    </xf>
    <xf borderId="16" fillId="4" fontId="3" numFmtId="0" xfId="0" applyAlignment="1" applyBorder="1" applyFont="1">
      <alignment horizontal="left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4" fontId="9" numFmtId="0" xfId="0" applyAlignment="1" applyBorder="1" applyFont="1">
      <alignment horizontal="center" shrinkToFit="0" vertical="center" wrapText="1"/>
    </xf>
    <xf borderId="28" fillId="4" fontId="9" numFmtId="0" xfId="0" applyAlignment="1" applyBorder="1" applyFont="1">
      <alignment horizontal="center" vertical="center"/>
    </xf>
    <xf borderId="29" fillId="4" fontId="9" numFmtId="0" xfId="0" applyAlignment="1" applyBorder="1" applyFont="1">
      <alignment horizontal="center" shrinkToFit="0" vertical="center" wrapText="1"/>
    </xf>
    <xf borderId="30" fillId="4" fontId="9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left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quotePrefix="1" borderId="31" fillId="0" fontId="5" numFmtId="0" xfId="0" applyAlignment="1" applyBorder="1" applyFont="1">
      <alignment horizontal="left" shrinkToFit="0" vertical="center" wrapText="1"/>
    </xf>
    <xf quotePrefix="1" borderId="31" fillId="2" fontId="5" numFmtId="165" xfId="0" applyAlignment="1" applyBorder="1" applyFont="1" applyNumberFormat="1">
      <alignment horizontal="center" vertical="center"/>
    </xf>
    <xf borderId="31" fillId="2" fontId="5" numFmtId="0" xfId="0" applyAlignment="1" applyBorder="1" applyFont="1">
      <alignment horizontal="left" readingOrder="0" shrinkToFit="0" vertical="center" wrapText="1"/>
    </xf>
    <xf borderId="32" fillId="2" fontId="5" numFmtId="0" xfId="0" applyAlignment="1" applyBorder="1" applyFont="1">
      <alignment horizontal="center" vertical="center"/>
    </xf>
    <xf borderId="33" fillId="0" fontId="11" numFmtId="164" xfId="0" applyAlignment="1" applyBorder="1" applyFont="1" applyNumberFormat="1">
      <alignment horizontal="center" readingOrder="0" vertical="center"/>
    </xf>
    <xf borderId="34" fillId="2" fontId="5" numFmtId="164" xfId="0" applyAlignment="1" applyBorder="1" applyFont="1" applyNumberFormat="1">
      <alignment horizontal="center" vertical="center"/>
    </xf>
    <xf quotePrefix="1" borderId="31" fillId="0" fontId="11" numFmtId="0" xfId="0" applyAlignment="1" applyBorder="1" applyFont="1">
      <alignment horizontal="left" shrinkToFit="0" vertical="center" wrapText="1"/>
    </xf>
    <xf borderId="35" fillId="0" fontId="5" numFmtId="0" xfId="0" applyAlignment="1" applyBorder="1" applyFont="1">
      <alignment horizontal="center" vertical="center"/>
    </xf>
    <xf borderId="31" fillId="2" fontId="5" numFmtId="165" xfId="0" applyAlignment="1" applyBorder="1" applyFont="1" applyNumberFormat="1">
      <alignment horizontal="center" readingOrder="0" vertical="center"/>
    </xf>
    <xf borderId="31" fillId="2" fontId="5" numFmtId="0" xfId="0" applyAlignment="1" applyBorder="1" applyFont="1">
      <alignment horizontal="left" shrinkToFit="0" vertical="center" wrapText="1"/>
    </xf>
    <xf borderId="33" fillId="0" fontId="11" numFmtId="164" xfId="0" applyAlignment="1" applyBorder="1" applyFont="1" applyNumberFormat="1">
      <alignment horizontal="center" vertical="center"/>
    </xf>
    <xf borderId="31" fillId="2" fontId="5" numFmtId="0" xfId="0" applyAlignment="1" applyBorder="1" applyFont="1">
      <alignment horizontal="center" readingOrder="0" vertical="center"/>
    </xf>
    <xf borderId="36" fillId="2" fontId="5" numFmtId="0" xfId="0" applyAlignment="1" applyBorder="1" applyFont="1">
      <alignment horizontal="center" shrinkToFit="0" vertical="center" wrapText="1"/>
    </xf>
    <xf borderId="37" fillId="0" fontId="4" numFmtId="0" xfId="0" applyBorder="1" applyFont="1"/>
    <xf borderId="38" fillId="0" fontId="4" numFmtId="0" xfId="0" applyBorder="1" applyFont="1"/>
    <xf borderId="33" fillId="2" fontId="5" numFmtId="164" xfId="0" applyAlignment="1" applyBorder="1" applyFont="1" applyNumberFormat="1">
      <alignment horizontal="center" vertical="center"/>
    </xf>
    <xf borderId="36" fillId="2" fontId="12" numFmtId="0" xfId="0" applyAlignment="1" applyBorder="1" applyFont="1">
      <alignment horizontal="left" vertical="center"/>
    </xf>
    <xf borderId="33" fillId="2" fontId="3" numFmtId="0" xfId="0" applyAlignment="1" applyBorder="1" applyFont="1">
      <alignment horizontal="right" vertical="center"/>
    </xf>
    <xf borderId="34" fillId="2" fontId="3" numFmtId="164" xfId="0" applyAlignment="1" applyBorder="1" applyFont="1" applyNumberFormat="1">
      <alignment horizontal="center" vertical="center"/>
    </xf>
    <xf borderId="1" fillId="2" fontId="5" numFmtId="0" xfId="0" applyBorder="1" applyFont="1"/>
    <xf quotePrefix="1" borderId="39" fillId="2" fontId="6" numFmtId="0" xfId="0" applyAlignment="1" applyBorder="1" applyFont="1">
      <alignment horizontal="left" readingOrder="0" shrinkToFit="0" vertical="top" wrapText="1"/>
    </xf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0" fontId="4" numFmtId="0" xfId="0" applyBorder="1" applyFont="1"/>
    <xf borderId="45" fillId="2" fontId="3" numFmtId="0" xfId="0" applyAlignment="1" applyBorder="1" applyFont="1">
      <alignment horizontal="right" shrinkToFit="0" vertical="center" wrapText="1"/>
    </xf>
    <xf borderId="46" fillId="2" fontId="3" numFmtId="164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left" vertical="center"/>
    </xf>
    <xf borderId="47" fillId="3" fontId="9" numFmtId="0" xfId="0" applyAlignment="1" applyBorder="1" applyFont="1">
      <alignment horizontal="left" vertical="center"/>
    </xf>
    <xf borderId="48" fillId="3" fontId="9" numFmtId="0" xfId="0" applyAlignment="1" applyBorder="1" applyFont="1">
      <alignment horizontal="left" vertical="center"/>
    </xf>
    <xf borderId="49" fillId="3" fontId="9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top"/>
    </xf>
    <xf borderId="2" fillId="2" fontId="3" numFmtId="49" xfId="0" applyAlignment="1" applyBorder="1" applyFont="1" applyNumberFormat="1">
      <alignment horizontal="left" vertical="center"/>
    </xf>
    <xf borderId="50" fillId="2" fontId="6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7" fillId="2" fontId="5" numFmtId="0" xfId="0" applyAlignment="1" applyBorder="1" applyFont="1">
      <alignment horizontal="left" vertical="top"/>
    </xf>
    <xf borderId="50" fillId="2" fontId="3" numFmtId="49" xfId="0" applyAlignment="1" applyBorder="1" applyFont="1" applyNumberFormat="1">
      <alignment horizontal="left" vertical="top"/>
    </xf>
    <xf borderId="50" fillId="2" fontId="13" numFmtId="0" xfId="0" applyAlignment="1" applyBorder="1" applyFont="1">
      <alignment horizontal="left" vertical="top"/>
    </xf>
    <xf borderId="1" fillId="2" fontId="13" numFmtId="0" xfId="0" applyAlignment="1" applyBorder="1" applyFont="1">
      <alignment horizontal="left" vertical="top"/>
    </xf>
    <xf borderId="9" fillId="2" fontId="3" numFmtId="49" xfId="0" applyAlignment="1" applyBorder="1" applyFont="1" applyNumberFormat="1">
      <alignment horizontal="left" vertical="top"/>
    </xf>
    <xf borderId="10" fillId="2" fontId="5" numFmtId="0" xfId="0" applyAlignment="1" applyBorder="1" applyFont="1">
      <alignment horizontal="left" vertical="top"/>
    </xf>
    <xf borderId="9" fillId="2" fontId="13" numFmtId="0" xfId="0" applyAlignment="1" applyBorder="1" applyFont="1">
      <alignment horizontal="left" readingOrder="0" vertical="top"/>
    </xf>
    <xf borderId="10" fillId="2" fontId="13" numFmtId="0" xfId="0" applyAlignment="1" applyBorder="1" applyFont="1">
      <alignment horizontal="left" vertical="top"/>
    </xf>
    <xf borderId="10" fillId="2" fontId="5" numFmtId="0" xfId="0" applyAlignment="1" applyBorder="1" applyFont="1">
      <alignment vertical="center"/>
    </xf>
    <xf borderId="11" fillId="2" fontId="5" numFmtId="0" xfId="0" applyAlignment="1" applyBorder="1" applyFont="1">
      <alignment vertical="center"/>
    </xf>
    <xf borderId="2" fillId="2" fontId="3" numFmtId="0" xfId="0" applyAlignment="1" applyBorder="1" applyFont="1">
      <alignment horizontal="left" vertical="center"/>
    </xf>
    <xf borderId="4" fillId="2" fontId="5" numFmtId="0" xfId="0" applyAlignment="1" applyBorder="1" applyFont="1">
      <alignment vertical="center"/>
    </xf>
    <xf borderId="2" fillId="2" fontId="6" numFmtId="0" xfId="0" applyAlignment="1" applyBorder="1" applyFont="1">
      <alignment horizontal="left" vertical="center"/>
    </xf>
    <xf borderId="3" fillId="2" fontId="6" numFmtId="0" xfId="0" applyAlignment="1" applyBorder="1" applyFont="1">
      <alignment horizontal="left" vertical="center"/>
    </xf>
    <xf borderId="3" fillId="2" fontId="5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left" vertical="top"/>
    </xf>
    <xf borderId="50" fillId="2" fontId="5" numFmtId="0" xfId="0" applyAlignment="1" applyBorder="1" applyFont="1">
      <alignment horizontal="left" vertical="top"/>
    </xf>
    <xf borderId="9" fillId="2" fontId="5" numFmtId="0" xfId="0" applyAlignment="1" applyBorder="1" applyFont="1">
      <alignment horizontal="left" vertical="top"/>
    </xf>
    <xf borderId="11" fillId="2" fontId="5" numFmtId="0" xfId="0" applyAlignment="1" applyBorder="1" applyFont="1">
      <alignment horizontal="left" vertical="top"/>
    </xf>
    <xf borderId="3" fillId="2" fontId="3" numFmtId="0" xfId="0" applyAlignment="1" applyBorder="1" applyFont="1">
      <alignment horizontal="left" vertical="center"/>
    </xf>
    <xf borderId="50" fillId="2" fontId="13" numFmtId="0" xfId="0" applyAlignment="1" applyBorder="1" applyFont="1">
      <alignment horizontal="left" readingOrder="0" vertical="top"/>
    </xf>
    <xf borderId="47" fillId="2" fontId="3" numFmtId="0" xfId="0" applyAlignment="1" applyBorder="1" applyFont="1">
      <alignment horizontal="left" vertical="center"/>
    </xf>
    <xf borderId="49" fillId="2" fontId="5" numFmtId="0" xfId="0" applyAlignment="1" applyBorder="1" applyFont="1">
      <alignment vertical="center"/>
    </xf>
    <xf borderId="9" fillId="2" fontId="3" numFmtId="0" xfId="0" applyAlignment="1" applyBorder="1" applyFont="1">
      <alignment horizontal="left" readingOrder="0" vertical="center"/>
    </xf>
    <xf borderId="48" fillId="2" fontId="3" numFmtId="0" xfId="0" applyAlignment="1" applyBorder="1" applyFont="1">
      <alignment horizontal="left" vertical="center"/>
    </xf>
    <xf borderId="48" fillId="2" fontId="5" numFmtId="0" xfId="0" applyAlignment="1" applyBorder="1" applyFont="1">
      <alignment vertical="center"/>
    </xf>
    <xf borderId="1" fillId="2" fontId="5" numFmtId="1" xfId="0" applyAlignment="1" applyBorder="1" applyFont="1" applyNumberFormat="1">
      <alignment horizontal="center" vertical="center"/>
    </xf>
    <xf borderId="1" fillId="2" fontId="5" numFmtId="167" xfId="0" applyAlignment="1" applyBorder="1" applyFont="1" applyNumberFormat="1">
      <alignment vertical="center"/>
    </xf>
    <xf borderId="1" fillId="2" fontId="1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shrinkToFit="0" vertical="center" wrapText="1"/>
    </xf>
    <xf borderId="1" fillId="2" fontId="5" numFmtId="16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shrinkToFit="0" vertical="center" wrapText="1"/>
    </xf>
    <xf borderId="1" fillId="2" fontId="5" numFmtId="168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left" vertical="center"/>
    </xf>
    <xf borderId="10" fillId="2" fontId="15" numFmtId="0" xfId="0" applyAlignment="1" applyBorder="1" applyFont="1">
      <alignment vertical="center"/>
    </xf>
    <xf borderId="10" fillId="2" fontId="16" numFmtId="0" xfId="0" applyAlignment="1" applyBorder="1" applyFont="1">
      <alignment vertical="center"/>
    </xf>
    <xf borderId="10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left"/>
    </xf>
    <xf borderId="8" fillId="2" fontId="17" numFmtId="0" xfId="0" applyAlignment="1" applyBorder="1" applyFont="1">
      <alignment horizontal="center" readingOrder="0" vertical="center"/>
    </xf>
    <xf borderId="51" fillId="0" fontId="4" numFmtId="0" xfId="0" applyBorder="1" applyFont="1"/>
    <xf borderId="1" fillId="2" fontId="18" numFmtId="0" xfId="0" applyAlignment="1" applyBorder="1" applyFont="1">
      <alignment horizontal="center" vertical="center"/>
    </xf>
    <xf borderId="1" fillId="2" fontId="18" numFmtId="0" xfId="0" applyAlignment="1" applyBorder="1" applyFont="1">
      <alignment vertical="center"/>
    </xf>
    <xf borderId="52" fillId="2" fontId="19" numFmtId="0" xfId="0" applyAlignment="1" applyBorder="1" applyFont="1">
      <alignment horizontal="center" vertical="center"/>
    </xf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57" fillId="0" fontId="4" numFmtId="0" xfId="0" applyBorder="1" applyFont="1"/>
    <xf borderId="1" fillId="2" fontId="18" numFmtId="0" xfId="0" applyBorder="1" applyFont="1"/>
    <xf borderId="1" fillId="2" fontId="1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2.29"/>
    <col customWidth="1" min="3" max="3" width="20.29"/>
    <col customWidth="1" min="4" max="4" width="52.71"/>
    <col customWidth="1" min="5" max="5" width="12.43"/>
    <col customWidth="1" min="6" max="6" width="13.71"/>
    <col customWidth="1" min="7" max="7" width="43.71"/>
    <col customWidth="1" min="8" max="8" width="13.43"/>
    <col customWidth="1" min="9" max="9" width="16.29"/>
    <col customWidth="1" min="10" max="10" width="14.57"/>
    <col customWidth="1" min="11" max="26" width="9.29"/>
  </cols>
  <sheetData>
    <row r="1" ht="13.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/>
      <c r="B2" s="4"/>
      <c r="C2" s="5"/>
      <c r="D2" s="6"/>
      <c r="E2" s="7"/>
      <c r="F2" s="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9"/>
      <c r="B3" s="10"/>
      <c r="C3" s="10"/>
      <c r="D3" s="10"/>
      <c r="E3" s="1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12" t="s">
        <v>1</v>
      </c>
      <c r="B4" s="13"/>
      <c r="C4" s="14" t="s">
        <v>2</v>
      </c>
      <c r="D4" s="15"/>
      <c r="E4" s="16"/>
      <c r="F4" s="17"/>
      <c r="G4" s="18" t="s">
        <v>3</v>
      </c>
      <c r="H4" s="19">
        <v>46031.0</v>
      </c>
      <c r="I4" s="13"/>
      <c r="J4" s="17"/>
      <c r="K4" s="20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8.75" customHeight="1">
      <c r="A5" s="12" t="s">
        <v>4</v>
      </c>
      <c r="B5" s="13"/>
      <c r="C5" s="15" t="s">
        <v>5</v>
      </c>
      <c r="D5" s="15"/>
      <c r="E5" s="16"/>
      <c r="F5" s="17"/>
      <c r="G5" s="18" t="s">
        <v>6</v>
      </c>
      <c r="H5" s="21" t="s">
        <v>7</v>
      </c>
      <c r="I5" s="13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75" customHeight="1">
      <c r="A6" s="12" t="s">
        <v>8</v>
      </c>
      <c r="B6" s="13"/>
      <c r="C6" s="15" t="s">
        <v>9</v>
      </c>
      <c r="D6" s="15"/>
      <c r="E6" s="16"/>
      <c r="F6" s="17"/>
      <c r="G6" s="18" t="s">
        <v>10</v>
      </c>
      <c r="H6" s="22">
        <v>46253.0</v>
      </c>
      <c r="I6" s="13"/>
      <c r="J6" s="17"/>
      <c r="K6" s="15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8.75" customHeight="1">
      <c r="A7" s="12" t="s">
        <v>11</v>
      </c>
      <c r="B7" s="13"/>
      <c r="C7" s="15" t="s">
        <v>12</v>
      </c>
      <c r="D7" s="15"/>
      <c r="E7" s="16"/>
      <c r="F7" s="17"/>
      <c r="G7" s="18"/>
      <c r="H7" s="23"/>
      <c r="I7" s="23"/>
      <c r="J7" s="17"/>
      <c r="K7" s="15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3.5" customHeight="1">
      <c r="A8" s="24"/>
      <c r="B8" s="25"/>
      <c r="C8" s="25"/>
      <c r="D8" s="25"/>
      <c r="E8" s="2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27"/>
      <c r="B9" s="4"/>
      <c r="C9" s="4"/>
      <c r="D9" s="7"/>
      <c r="E9" s="28"/>
      <c r="F9" s="29" t="s">
        <v>13</v>
      </c>
      <c r="G9" s="29"/>
      <c r="H9" s="30"/>
      <c r="I9" s="31" t="s">
        <v>13</v>
      </c>
      <c r="J9" s="3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7.75" customHeight="1">
      <c r="A10" s="33" t="s">
        <v>14</v>
      </c>
      <c r="B10" s="34" t="s">
        <v>15</v>
      </c>
      <c r="C10" s="35" t="s">
        <v>16</v>
      </c>
      <c r="D10" s="36" t="s">
        <v>17</v>
      </c>
      <c r="E10" s="37" t="s">
        <v>18</v>
      </c>
      <c r="F10" s="38"/>
      <c r="G10" s="39" t="s">
        <v>19</v>
      </c>
      <c r="H10" s="39" t="s">
        <v>20</v>
      </c>
      <c r="I10" s="40" t="s">
        <v>21</v>
      </c>
      <c r="J10" s="41" t="s">
        <v>22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7.0" customHeight="1">
      <c r="A11" s="42"/>
      <c r="B11" s="43"/>
      <c r="C11" s="43"/>
      <c r="D11" s="43"/>
      <c r="E11" s="44" t="s">
        <v>23</v>
      </c>
      <c r="F11" s="44" t="s">
        <v>24</v>
      </c>
      <c r="G11" s="45"/>
      <c r="H11" s="45"/>
      <c r="I11" s="42"/>
      <c r="J11" s="4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5.25" customHeight="1">
      <c r="A12" s="47"/>
      <c r="B12" s="48" t="s">
        <v>25</v>
      </c>
      <c r="C12" s="49"/>
      <c r="D12" s="50"/>
      <c r="E12" s="51"/>
      <c r="F12" s="51"/>
      <c r="G12" s="52"/>
      <c r="H12" s="52"/>
      <c r="I12" s="53"/>
      <c r="J12" s="5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03.5" customHeight="1">
      <c r="A13" s="55">
        <v>1.0</v>
      </c>
      <c r="B13" s="56" t="s">
        <v>26</v>
      </c>
      <c r="C13" s="57" t="s">
        <v>27</v>
      </c>
      <c r="D13" s="58" t="s">
        <v>28</v>
      </c>
      <c r="E13" s="59" t="s">
        <v>29</v>
      </c>
      <c r="F13" s="59" t="s">
        <v>29</v>
      </c>
      <c r="G13" s="60" t="s">
        <v>30</v>
      </c>
      <c r="H13" s="61">
        <v>12.0</v>
      </c>
      <c r="I13" s="62">
        <v>27875.0</v>
      </c>
      <c r="J13" s="63">
        <f>+I13*H13*0.1</f>
        <v>33450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2.25" customHeight="1">
      <c r="A14" s="55">
        <v>2.0</v>
      </c>
      <c r="B14" s="56" t="s">
        <v>31</v>
      </c>
      <c r="C14" s="57" t="s">
        <v>27</v>
      </c>
      <c r="D14" s="64" t="s">
        <v>32</v>
      </c>
      <c r="E14" s="59" t="s">
        <v>29</v>
      </c>
      <c r="F14" s="59" t="s">
        <v>29</v>
      </c>
      <c r="G14" s="60" t="s">
        <v>33</v>
      </c>
      <c r="H14" s="61">
        <v>36.0</v>
      </c>
      <c r="I14" s="62">
        <v>390.0</v>
      </c>
      <c r="J14" s="63">
        <f t="shared" ref="J14:J17" si="1">+I14*H14</f>
        <v>14040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2.25" customHeight="1">
      <c r="A15" s="55">
        <v>3.0</v>
      </c>
      <c r="B15" s="56" t="s">
        <v>34</v>
      </c>
      <c r="C15" s="65">
        <v>8.1371374E7</v>
      </c>
      <c r="D15" s="64" t="s">
        <v>35</v>
      </c>
      <c r="E15" s="66">
        <v>46143.0</v>
      </c>
      <c r="F15" s="66">
        <v>46873.0</v>
      </c>
      <c r="G15" s="67" t="s">
        <v>36</v>
      </c>
      <c r="H15" s="61">
        <v>200.0</v>
      </c>
      <c r="I15" s="62">
        <v>110.0</v>
      </c>
      <c r="J15" s="63">
        <f t="shared" si="1"/>
        <v>22000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79.5" customHeight="1">
      <c r="A16" s="55">
        <v>4.0</v>
      </c>
      <c r="B16" s="56" t="s">
        <v>37</v>
      </c>
      <c r="C16" s="65">
        <v>8.1371374E7</v>
      </c>
      <c r="D16" s="64" t="s">
        <v>38</v>
      </c>
      <c r="E16" s="59" t="s">
        <v>29</v>
      </c>
      <c r="F16" s="59" t="s">
        <v>29</v>
      </c>
      <c r="G16" s="60" t="s">
        <v>39</v>
      </c>
      <c r="H16" s="61">
        <v>1.0</v>
      </c>
      <c r="I16" s="68">
        <v>5746.35</v>
      </c>
      <c r="J16" s="63">
        <f t="shared" si="1"/>
        <v>5746.35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79.5" customHeight="1">
      <c r="A17" s="69">
        <v>5.0</v>
      </c>
      <c r="B17" s="56" t="s">
        <v>37</v>
      </c>
      <c r="C17" s="65">
        <v>8.1371374E7</v>
      </c>
      <c r="D17" s="64" t="s">
        <v>38</v>
      </c>
      <c r="E17" s="59" t="s">
        <v>29</v>
      </c>
      <c r="F17" s="59" t="s">
        <v>29</v>
      </c>
      <c r="G17" s="60" t="s">
        <v>40</v>
      </c>
      <c r="H17" s="61">
        <v>1.0</v>
      </c>
      <c r="I17" s="68">
        <v>5746.35</v>
      </c>
      <c r="J17" s="63">
        <f t="shared" si="1"/>
        <v>5746.35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7.0" customHeight="1">
      <c r="A18" s="70" t="s">
        <v>41</v>
      </c>
      <c r="B18" s="71"/>
      <c r="C18" s="71"/>
      <c r="D18" s="71"/>
      <c r="E18" s="71"/>
      <c r="F18" s="71"/>
      <c r="G18" s="71"/>
      <c r="H18" s="72"/>
      <c r="I18" s="73"/>
      <c r="J18" s="63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1.0" customHeight="1">
      <c r="A19" s="74" t="s">
        <v>42</v>
      </c>
      <c r="B19" s="71"/>
      <c r="C19" s="71"/>
      <c r="D19" s="71"/>
      <c r="E19" s="71"/>
      <c r="F19" s="71"/>
      <c r="G19" s="71"/>
      <c r="H19" s="72"/>
      <c r="I19" s="75" t="s">
        <v>43</v>
      </c>
      <c r="J19" s="76">
        <f>SUM(J13:J17)</f>
        <v>80982.7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21.0" customHeight="1">
      <c r="A20" s="78" t="s">
        <v>44</v>
      </c>
      <c r="B20" s="79"/>
      <c r="C20" s="79"/>
      <c r="D20" s="79"/>
      <c r="E20" s="79"/>
      <c r="F20" s="79"/>
      <c r="G20" s="79"/>
      <c r="H20" s="80"/>
      <c r="I20" s="75" t="s">
        <v>45</v>
      </c>
      <c r="J20" s="76">
        <f>J19*0.09</f>
        <v>7288.443</v>
      </c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60.75" customHeight="1">
      <c r="A21" s="81"/>
      <c r="B21" s="82"/>
      <c r="C21" s="82"/>
      <c r="D21" s="82"/>
      <c r="E21" s="82"/>
      <c r="F21" s="82"/>
      <c r="G21" s="82"/>
      <c r="H21" s="83"/>
      <c r="I21" s="84" t="s">
        <v>46</v>
      </c>
      <c r="J21" s="85">
        <f>J20+J19</f>
        <v>88271.143</v>
      </c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3.5" customHeight="1">
      <c r="A22" s="3"/>
      <c r="B22" s="3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86" t="s">
        <v>47</v>
      </c>
      <c r="B23" s="87"/>
      <c r="C23" s="87"/>
      <c r="D23" s="88"/>
      <c r="E23" s="88"/>
      <c r="F23" s="88"/>
      <c r="G23" s="88"/>
      <c r="H23" s="89"/>
      <c r="I23" s="88"/>
      <c r="J23" s="89"/>
      <c r="K23" s="17"/>
      <c r="L23" s="17"/>
      <c r="M23" s="17"/>
      <c r="N23" s="17"/>
      <c r="O23" s="17"/>
      <c r="P23" s="17"/>
      <c r="Q23" s="90"/>
      <c r="R23" s="90"/>
      <c r="S23" s="17"/>
      <c r="T23" s="17"/>
      <c r="U23" s="17"/>
      <c r="V23" s="17"/>
      <c r="W23" s="17"/>
      <c r="X23" s="17"/>
      <c r="Y23" s="17"/>
      <c r="Z23" s="17"/>
    </row>
    <row r="24" ht="18.0" customHeight="1">
      <c r="A24" s="91" t="s">
        <v>48</v>
      </c>
      <c r="B24" s="17"/>
      <c r="C24" s="92" t="s">
        <v>49</v>
      </c>
      <c r="D24" s="93"/>
      <c r="E24" s="93"/>
      <c r="F24" s="93"/>
      <c r="G24" s="93"/>
      <c r="H24" s="93"/>
      <c r="I24" s="90"/>
      <c r="J24" s="94"/>
      <c r="K24" s="90"/>
      <c r="L24" s="90"/>
      <c r="M24" s="90"/>
      <c r="N24" s="90"/>
      <c r="O24" s="90"/>
      <c r="P24" s="90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0" customHeight="1">
      <c r="A25" s="95"/>
      <c r="B25" s="90"/>
      <c r="C25" s="96" t="s">
        <v>50</v>
      </c>
      <c r="D25" s="97"/>
      <c r="E25" s="97"/>
      <c r="F25" s="97"/>
      <c r="G25" s="97"/>
      <c r="H25" s="97"/>
      <c r="I25" s="90"/>
      <c r="J25" s="94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0" customHeight="1">
      <c r="A26" s="95"/>
      <c r="B26" s="90"/>
      <c r="C26" s="96" t="s">
        <v>51</v>
      </c>
      <c r="D26" s="97"/>
      <c r="E26" s="97"/>
      <c r="F26" s="97"/>
      <c r="G26" s="97"/>
      <c r="H26" s="97"/>
      <c r="I26" s="90"/>
      <c r="J26" s="94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8"/>
      <c r="B27" s="99"/>
      <c r="C27" s="100" t="s">
        <v>52</v>
      </c>
      <c r="D27" s="101"/>
      <c r="E27" s="101"/>
      <c r="F27" s="101"/>
      <c r="G27" s="101"/>
      <c r="H27" s="101"/>
      <c r="I27" s="102"/>
      <c r="J27" s="103"/>
      <c r="K27" s="17"/>
      <c r="L27" s="17"/>
      <c r="M27" s="17"/>
      <c r="N27" s="17"/>
      <c r="O27" s="17"/>
      <c r="P27" s="17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8.0" customHeight="1">
      <c r="A28" s="104" t="s">
        <v>53</v>
      </c>
      <c r="B28" s="105"/>
      <c r="C28" s="106" t="s">
        <v>54</v>
      </c>
      <c r="D28" s="107"/>
      <c r="E28" s="107"/>
      <c r="F28" s="107"/>
      <c r="G28" s="107"/>
      <c r="H28" s="107"/>
      <c r="I28" s="108"/>
      <c r="J28" s="109"/>
      <c r="K28" s="90"/>
      <c r="L28" s="90"/>
      <c r="M28" s="90"/>
      <c r="N28" s="90"/>
      <c r="O28" s="90"/>
      <c r="P28" s="90"/>
      <c r="Q28" s="90"/>
      <c r="R28" s="90"/>
      <c r="S28" s="17"/>
      <c r="T28" s="17"/>
      <c r="U28" s="17"/>
      <c r="V28" s="17"/>
      <c r="W28" s="17"/>
      <c r="X28" s="17"/>
      <c r="Y28" s="17"/>
      <c r="Z28" s="17"/>
    </row>
    <row r="29" ht="15.0" customHeight="1">
      <c r="A29" s="110"/>
      <c r="B29" s="94"/>
      <c r="C29" s="96" t="s">
        <v>55</v>
      </c>
      <c r="D29" s="97"/>
      <c r="E29" s="97"/>
      <c r="F29" s="97"/>
      <c r="G29" s="97"/>
      <c r="H29" s="97"/>
      <c r="I29" s="90"/>
      <c r="J29" s="94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0" customHeight="1">
      <c r="A30" s="110"/>
      <c r="B30" s="94"/>
      <c r="C30" s="96" t="s">
        <v>56</v>
      </c>
      <c r="D30" s="97"/>
      <c r="E30" s="97"/>
      <c r="F30" s="97"/>
      <c r="G30" s="97"/>
      <c r="H30" s="97"/>
      <c r="I30" s="90"/>
      <c r="J30" s="94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111"/>
      <c r="B31" s="112"/>
      <c r="C31" s="100" t="s">
        <v>57</v>
      </c>
      <c r="D31" s="101"/>
      <c r="E31" s="101"/>
      <c r="F31" s="101"/>
      <c r="G31" s="101"/>
      <c r="H31" s="101"/>
      <c r="I31" s="102"/>
      <c r="J31" s="103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8.0" customHeight="1">
      <c r="A32" s="104" t="s">
        <v>58</v>
      </c>
      <c r="B32" s="105"/>
      <c r="C32" s="104" t="s">
        <v>59</v>
      </c>
      <c r="D32" s="113"/>
      <c r="E32" s="113"/>
      <c r="F32" s="113"/>
      <c r="G32" s="113"/>
      <c r="H32" s="113"/>
      <c r="I32" s="108"/>
      <c r="J32" s="109"/>
      <c r="K32" s="90"/>
      <c r="L32" s="90"/>
      <c r="M32" s="90"/>
      <c r="N32" s="90"/>
      <c r="O32" s="90"/>
      <c r="P32" s="90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0" customHeight="1">
      <c r="A33" s="110"/>
      <c r="B33" s="94"/>
      <c r="C33" s="96" t="s">
        <v>60</v>
      </c>
      <c r="D33" s="97"/>
      <c r="E33" s="97"/>
      <c r="F33" s="97"/>
      <c r="G33" s="97"/>
      <c r="H33" s="97"/>
      <c r="I33" s="90"/>
      <c r="J33" s="94"/>
      <c r="K33" s="90"/>
      <c r="L33" s="90"/>
      <c r="M33" s="90"/>
      <c r="N33" s="90"/>
      <c r="O33" s="90"/>
      <c r="P33" s="90"/>
      <c r="Q33" s="17"/>
      <c r="R33" s="17"/>
      <c r="S33" s="90"/>
      <c r="T33" s="90"/>
      <c r="U33" s="90"/>
      <c r="V33" s="90"/>
      <c r="W33" s="90"/>
      <c r="X33" s="90"/>
      <c r="Y33" s="90"/>
      <c r="Z33" s="90"/>
    </row>
    <row r="34" ht="15.0" customHeight="1">
      <c r="A34" s="110"/>
      <c r="B34" s="94"/>
      <c r="C34" s="96" t="s">
        <v>61</v>
      </c>
      <c r="D34" s="97"/>
      <c r="E34" s="97"/>
      <c r="F34" s="97"/>
      <c r="G34" s="97"/>
      <c r="H34" s="97"/>
      <c r="I34" s="90"/>
      <c r="J34" s="94"/>
      <c r="K34" s="90"/>
      <c r="L34" s="90"/>
      <c r="M34" s="90"/>
      <c r="N34" s="90"/>
      <c r="O34" s="90"/>
      <c r="P34" s="90"/>
      <c r="Q34" s="17"/>
      <c r="R34" s="17"/>
      <c r="S34" s="90"/>
      <c r="T34" s="90"/>
      <c r="U34" s="90"/>
      <c r="V34" s="90"/>
      <c r="W34" s="90"/>
      <c r="X34" s="90"/>
      <c r="Y34" s="90"/>
      <c r="Z34" s="90"/>
    </row>
    <row r="35" ht="15.0" customHeight="1">
      <c r="A35" s="110"/>
      <c r="B35" s="94"/>
      <c r="C35" s="96" t="s">
        <v>62</v>
      </c>
      <c r="D35" s="97"/>
      <c r="E35" s="97"/>
      <c r="F35" s="97"/>
      <c r="G35" s="97"/>
      <c r="H35" s="97"/>
      <c r="I35" s="90"/>
      <c r="J35" s="94"/>
      <c r="K35" s="17"/>
      <c r="L35" s="17"/>
      <c r="M35" s="17"/>
      <c r="N35" s="17"/>
      <c r="O35" s="17"/>
      <c r="P35" s="17"/>
      <c r="Q35" s="17"/>
      <c r="R35" s="17"/>
      <c r="S35" s="90"/>
      <c r="T35" s="90"/>
      <c r="U35" s="90"/>
      <c r="V35" s="90"/>
      <c r="W35" s="90"/>
      <c r="X35" s="90"/>
      <c r="Y35" s="90"/>
      <c r="Z35" s="90"/>
    </row>
    <row r="36" ht="15.0" customHeight="1">
      <c r="A36" s="110"/>
      <c r="B36" s="94"/>
      <c r="C36" s="96" t="s">
        <v>63</v>
      </c>
      <c r="D36" s="97"/>
      <c r="E36" s="97"/>
      <c r="F36" s="97"/>
      <c r="G36" s="97"/>
      <c r="H36" s="97"/>
      <c r="I36" s="90"/>
      <c r="J36" s="94"/>
      <c r="K36" s="17"/>
      <c r="L36" s="17"/>
      <c r="M36" s="17"/>
      <c r="N36" s="17"/>
      <c r="O36" s="17"/>
      <c r="P36" s="17"/>
      <c r="Q36" s="17"/>
      <c r="R36" s="17"/>
      <c r="S36" s="90"/>
      <c r="T36" s="90"/>
      <c r="U36" s="90"/>
      <c r="V36" s="90"/>
      <c r="W36" s="90"/>
      <c r="X36" s="90"/>
      <c r="Y36" s="90"/>
      <c r="Z36" s="90"/>
    </row>
    <row r="37" ht="15.0" customHeight="1">
      <c r="A37" s="110"/>
      <c r="B37" s="94"/>
      <c r="C37" s="96" t="s">
        <v>64</v>
      </c>
      <c r="D37" s="97"/>
      <c r="E37" s="97"/>
      <c r="F37" s="97"/>
      <c r="G37" s="97"/>
      <c r="H37" s="97"/>
      <c r="I37" s="90"/>
      <c r="J37" s="94"/>
      <c r="K37" s="17"/>
      <c r="L37" s="17"/>
      <c r="M37" s="17"/>
      <c r="N37" s="17"/>
      <c r="O37" s="17"/>
      <c r="P37" s="17"/>
      <c r="Q37" s="17"/>
      <c r="R37" s="17"/>
      <c r="S37" s="90"/>
      <c r="T37" s="90"/>
      <c r="U37" s="90"/>
      <c r="V37" s="90"/>
      <c r="W37" s="90"/>
      <c r="X37" s="90"/>
      <c r="Y37" s="90"/>
      <c r="Z37" s="90"/>
    </row>
    <row r="38" ht="14.25" customHeight="1">
      <c r="A38" s="110"/>
      <c r="B38" s="94"/>
      <c r="C38" s="114" t="s">
        <v>65</v>
      </c>
      <c r="D38" s="97"/>
      <c r="E38" s="97"/>
      <c r="F38" s="97"/>
      <c r="G38" s="97"/>
      <c r="H38" s="97"/>
      <c r="I38" s="90"/>
      <c r="J38" s="94"/>
      <c r="K38" s="17"/>
      <c r="L38" s="17"/>
      <c r="M38" s="17"/>
      <c r="N38" s="17"/>
      <c r="O38" s="17"/>
      <c r="P38" s="17"/>
      <c r="Q38" s="17"/>
      <c r="R38" s="17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111"/>
      <c r="B39" s="112"/>
      <c r="C39" s="100" t="s">
        <v>66</v>
      </c>
      <c r="D39" s="101"/>
      <c r="E39" s="101"/>
      <c r="F39" s="101"/>
      <c r="G39" s="101"/>
      <c r="H39" s="101"/>
      <c r="I39" s="102"/>
      <c r="J39" s="103"/>
      <c r="K39" s="17"/>
      <c r="L39" s="17"/>
      <c r="M39" s="17"/>
      <c r="N39" s="17"/>
      <c r="O39" s="17"/>
      <c r="P39" s="17"/>
      <c r="Q39" s="17"/>
      <c r="R39" s="17"/>
      <c r="S39" s="90"/>
      <c r="T39" s="90"/>
      <c r="U39" s="90"/>
      <c r="V39" s="90"/>
      <c r="W39" s="90"/>
      <c r="X39" s="90"/>
      <c r="Y39" s="90"/>
      <c r="Z39" s="90"/>
    </row>
    <row r="40" ht="18.0" customHeight="1">
      <c r="A40" s="115" t="s">
        <v>67</v>
      </c>
      <c r="B40" s="116"/>
      <c r="C40" s="117" t="s">
        <v>68</v>
      </c>
      <c r="D40" s="115"/>
      <c r="E40" s="118"/>
      <c r="F40" s="118"/>
      <c r="G40" s="118"/>
      <c r="H40" s="118"/>
      <c r="I40" s="119"/>
      <c r="J40" s="1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0" customHeight="1">
      <c r="A41" s="17"/>
      <c r="B41" s="17"/>
      <c r="C41" s="17"/>
      <c r="D41" s="17"/>
      <c r="E41" s="120"/>
      <c r="F41" s="121"/>
      <c r="G41" s="121"/>
      <c r="H41" s="121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0" customHeight="1">
      <c r="A42" s="17"/>
      <c r="B42" s="17"/>
      <c r="C42" s="17"/>
      <c r="D42" s="17"/>
      <c r="E42" s="120"/>
      <c r="F42" s="121"/>
      <c r="G42" s="121"/>
      <c r="H42" s="121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0" customHeight="1">
      <c r="A43" s="122" t="s">
        <v>69</v>
      </c>
      <c r="B43" s="17"/>
      <c r="C43" s="17"/>
      <c r="D43" s="17"/>
      <c r="E43" s="120"/>
      <c r="F43" s="121"/>
      <c r="G43" s="121"/>
      <c r="H43" s="121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0" customHeight="1">
      <c r="A44" s="17"/>
      <c r="B44" s="17"/>
      <c r="C44" s="17"/>
      <c r="D44" s="17"/>
      <c r="E44" s="120"/>
      <c r="F44" s="121"/>
      <c r="G44" s="121"/>
      <c r="H44" s="121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23"/>
      <c r="B45" s="123"/>
      <c r="C45" s="124"/>
      <c r="D45" s="124"/>
      <c r="E45" s="123"/>
      <c r="F45" s="125"/>
      <c r="G45" s="123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17"/>
      <c r="B46" s="123"/>
      <c r="C46" s="124"/>
      <c r="D46" s="126"/>
      <c r="E46" s="127"/>
      <c r="F46" s="12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28" t="s">
        <v>70</v>
      </c>
      <c r="B47" s="123"/>
      <c r="C47" s="124"/>
      <c r="D47" s="126"/>
      <c r="E47" s="17"/>
      <c r="F47" s="17"/>
      <c r="G47" s="128" t="s">
        <v>71</v>
      </c>
      <c r="H47" s="18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58.5" customHeight="1">
      <c r="A48" s="129" t="s">
        <v>72</v>
      </c>
      <c r="B48" s="130"/>
      <c r="C48" s="131"/>
      <c r="D48" s="126"/>
      <c r="E48" s="132"/>
      <c r="F48" s="125"/>
      <c r="G48" s="102"/>
      <c r="H48" s="102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5" t="s">
        <v>73</v>
      </c>
      <c r="B49" s="123"/>
      <c r="C49" s="124"/>
      <c r="D49" s="126"/>
      <c r="E49" s="17"/>
      <c r="F49" s="17"/>
      <c r="G49" s="15" t="s">
        <v>74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5" t="s">
        <v>75</v>
      </c>
      <c r="B50" s="123"/>
      <c r="C50" s="124"/>
      <c r="D50" s="126"/>
      <c r="E50" s="132"/>
      <c r="F50" s="125"/>
      <c r="G50" s="123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5" t="s">
        <v>76</v>
      </c>
      <c r="B51" s="123"/>
      <c r="C51" s="124"/>
      <c r="D51" s="126"/>
      <c r="E51" s="17"/>
      <c r="F51" s="125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4" t="s">
        <v>77</v>
      </c>
      <c r="B52" s="123"/>
      <c r="C52" s="124"/>
      <c r="D52" s="126"/>
      <c r="E52" s="17"/>
      <c r="F52" s="125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77"/>
      <c r="B53" s="77"/>
      <c r="C53" s="133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0" customHeight="1">
      <c r="A54" s="134" t="s">
        <v>78</v>
      </c>
      <c r="B54" s="135"/>
      <c r="C54" s="135"/>
      <c r="D54" s="135"/>
      <c r="E54" s="135"/>
      <c r="F54" s="135"/>
      <c r="G54" s="135"/>
      <c r="H54" s="135"/>
      <c r="I54" s="135"/>
      <c r="J54" s="13"/>
      <c r="K54" s="136"/>
      <c r="L54" s="136"/>
      <c r="M54" s="136"/>
      <c r="N54" s="136"/>
      <c r="O54" s="136"/>
      <c r="P54" s="136"/>
      <c r="Q54" s="136"/>
      <c r="R54" s="136"/>
      <c r="S54" s="137"/>
      <c r="T54" s="137"/>
      <c r="U54" s="137"/>
      <c r="V54" s="137"/>
      <c r="W54" s="137"/>
      <c r="X54" s="137"/>
      <c r="Y54" s="137"/>
      <c r="Z54" s="137"/>
    </row>
    <row r="55" ht="15.0" customHeight="1">
      <c r="A55" s="138" t="s">
        <v>79</v>
      </c>
      <c r="B55" s="139"/>
      <c r="C55" s="139"/>
      <c r="D55" s="139"/>
      <c r="E55" s="139"/>
      <c r="F55" s="139"/>
      <c r="G55" s="139"/>
      <c r="H55" s="139"/>
      <c r="I55" s="139"/>
      <c r="J55" s="140"/>
      <c r="K55" s="136"/>
      <c r="L55" s="136"/>
      <c r="M55" s="136"/>
      <c r="N55" s="136"/>
      <c r="O55" s="136"/>
      <c r="P55" s="136"/>
      <c r="Q55" s="136"/>
      <c r="R55" s="136"/>
      <c r="S55" s="137"/>
      <c r="T55" s="137"/>
      <c r="U55" s="137"/>
      <c r="V55" s="137"/>
      <c r="W55" s="137"/>
      <c r="X55" s="137"/>
      <c r="Y55" s="137"/>
      <c r="Z55" s="137"/>
    </row>
    <row r="56" ht="13.5" customHeight="1">
      <c r="A56" s="141"/>
      <c r="B56" s="142"/>
      <c r="C56" s="142"/>
      <c r="D56" s="142"/>
      <c r="E56" s="142"/>
      <c r="F56" s="142"/>
      <c r="G56" s="142"/>
      <c r="H56" s="142"/>
      <c r="I56" s="142"/>
      <c r="J56" s="143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3.5" customHeight="1">
      <c r="A57" s="144"/>
      <c r="B57" s="144"/>
      <c r="C57" s="145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3.5" customHeight="1">
      <c r="A58" s="3"/>
      <c r="B58" s="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23">
    <mergeCell ref="E10:F10"/>
    <mergeCell ref="G10:G11"/>
    <mergeCell ref="H10:H11"/>
    <mergeCell ref="I10:I11"/>
    <mergeCell ref="J10:J11"/>
    <mergeCell ref="A4:B4"/>
    <mergeCell ref="H4:I4"/>
    <mergeCell ref="A5:B5"/>
    <mergeCell ref="H5:I5"/>
    <mergeCell ref="A6:B6"/>
    <mergeCell ref="H6:I6"/>
    <mergeCell ref="I9:J9"/>
    <mergeCell ref="A19:H19"/>
    <mergeCell ref="A20:H21"/>
    <mergeCell ref="A54:J54"/>
    <mergeCell ref="A55:J56"/>
    <mergeCell ref="A7:B7"/>
    <mergeCell ref="A10:A11"/>
    <mergeCell ref="B10:B11"/>
    <mergeCell ref="C10:C11"/>
    <mergeCell ref="D10:D11"/>
    <mergeCell ref="B12:D12"/>
    <mergeCell ref="A18:H18"/>
  </mergeCells>
  <dataValidations>
    <dataValidation type="custom" allowBlank="1" showErrorMessage="1" sqref="B14">
      <formula1>AND(GTE(LEN(B14),MIN((1),(18))),LTE(LEN(B14),MAX((1),(18))))</formula1>
    </dataValidation>
  </dataValidations>
  <printOptions/>
  <pageMargins bottom="0.75" footer="0.0" header="0.0" left="0.7" right="0.7" top="0.75"/>
  <pageSetup orientation="portrait"/>
  <drawing r:id="rId1"/>
</worksheet>
</file>